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u Estate SD Standard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1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  <font>
      <name val="Arial"/>
      <b val="1"/>
      <i val="1"/>
      <color rgb="00548235"/>
    </font>
    <font>
      <name val="Arial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4" customWidth="1" min="4" max="4"/>
    <col width="8" customWidth="1" min="5" max="5"/>
    <col width="18" customWidth="1" min="6" max="6"/>
    <col width="48" customWidth="1" min="7" max="7"/>
    <col width="18" customWidth="1" min="8" max="8"/>
  </cols>
  <sheetData>
    <row r="1">
      <c r="A1" s="1" t="inlineStr">
        <is>
          <t>Linda Liu Estate — Date-of-Death Appraisal Quote</t>
        </is>
      </c>
    </row>
    <row r="2">
      <c r="A2" s="2" t="inlineStr">
        <is>
          <t>San Diego Properties Only — Standard Appraisal — Effective Date 3/24/2026</t>
        </is>
      </c>
    </row>
    <row r="4" ht="32" customHeight="1">
      <c r="A4" s="3" t="inlineStr">
        <is>
          <t>#</t>
        </is>
      </c>
      <c r="B4" s="3" t="inlineStr">
        <is>
          <t>Property</t>
        </is>
      </c>
      <c r="C4" s="3" t="inlineStr">
        <is>
          <t>County</t>
        </is>
      </c>
      <c r="D4" s="3" t="inlineStr">
        <is>
          <t>Living Area (sf)</t>
        </is>
      </c>
      <c r="E4" s="3" t="inlineStr">
        <is>
          <t>Photos</t>
        </is>
      </c>
      <c r="F4" s="3" t="inlineStr">
        <is>
          <t>Match Group</t>
        </is>
      </c>
      <c r="G4" s="3" t="inlineStr">
        <is>
          <t>Notes</t>
        </is>
      </c>
      <c r="H4" s="3" t="inlineStr">
        <is>
          <t>Standard Price</t>
        </is>
      </c>
    </row>
    <row r="5">
      <c r="A5" s="4" t="n">
        <v>1</v>
      </c>
      <c r="B5" s="5" t="inlineStr">
        <is>
          <t>6650 Via Madera</t>
        </is>
      </c>
      <c r="C5" s="5" t="inlineStr">
        <is>
          <t>San Diego</t>
        </is>
      </c>
      <c r="D5" s="4" t="inlineStr">
        <is>
          <t>2,825</t>
        </is>
      </c>
      <c r="E5" s="6" t="inlineStr">
        <is>
          <t>Y</t>
        </is>
      </c>
      <c r="F5" s="5" t="inlineStr">
        <is>
          <t>Unique</t>
        </is>
      </c>
      <c r="G5" s="5" t="inlineStr">
        <is>
          <t>Consecutive-day anchor (full price)</t>
        </is>
      </c>
      <c r="H5" s="7" t="n">
        <v>625</v>
      </c>
    </row>
    <row r="6">
      <c r="A6" s="4" t="n">
        <v>2</v>
      </c>
      <c r="B6" s="5" t="inlineStr">
        <is>
          <t>3825 Elijah Ct #312</t>
        </is>
      </c>
      <c r="C6" s="5" t="inlineStr">
        <is>
          <t>San Diego</t>
        </is>
      </c>
      <c r="D6" s="4" t="inlineStr">
        <is>
          <t>1,387</t>
        </is>
      </c>
      <c r="E6" s="6" t="inlineStr">
        <is>
          <t>Y</t>
        </is>
      </c>
      <c r="F6" s="5" t="inlineStr">
        <is>
          <t>Unique</t>
        </is>
      </c>
      <c r="G6" s="5" t="inlineStr">
        <is>
          <t>$50 same-day discount</t>
        </is>
      </c>
      <c r="H6" s="7" t="n">
        <v>575</v>
      </c>
    </row>
    <row r="7">
      <c r="A7" s="4" t="n">
        <v>3</v>
      </c>
      <c r="B7" s="5" t="inlineStr">
        <is>
          <t>3887 Pell Pl #216</t>
        </is>
      </c>
      <c r="C7" s="5" t="inlineStr">
        <is>
          <t>San Diego</t>
        </is>
      </c>
      <c r="D7" s="4" t="inlineStr">
        <is>
          <t>748</t>
        </is>
      </c>
      <c r="E7" s="4" t="inlineStr">
        <is>
          <t>N</t>
        </is>
      </c>
      <c r="F7" s="5" t="inlineStr">
        <is>
          <t>748 sf (1st)</t>
        </is>
      </c>
      <c r="G7" s="5" t="inlineStr">
        <is>
          <t>$50 same-day; first in 748 group</t>
        </is>
      </c>
      <c r="H7" s="7" t="n">
        <v>575</v>
      </c>
    </row>
    <row r="8">
      <c r="A8" s="4" t="n">
        <v>4</v>
      </c>
      <c r="B8" s="5" t="inlineStr">
        <is>
          <t>3887 Pell Pl #129</t>
        </is>
      </c>
      <c r="C8" s="5" t="inlineStr">
        <is>
          <t>San Diego</t>
        </is>
      </c>
      <c r="D8" s="4" t="inlineStr">
        <is>
          <t>748</t>
        </is>
      </c>
      <c r="E8" s="6" t="inlineStr">
        <is>
          <t>Y</t>
        </is>
      </c>
      <c r="F8" s="5" t="inlineStr">
        <is>
          <t>748 sf (dup)</t>
        </is>
      </c>
      <c r="G8" s="5" t="inlineStr">
        <is>
          <t>$50 same-day + 1/3 off duplicate sf</t>
        </is>
      </c>
      <c r="H8" s="7" t="n">
        <v>383.33</v>
      </c>
    </row>
    <row r="9">
      <c r="A9" s="4" t="n">
        <v>5</v>
      </c>
      <c r="B9" s="5" t="inlineStr">
        <is>
          <t>3877 Pell Pl #419</t>
        </is>
      </c>
      <c r="C9" s="5" t="inlineStr">
        <is>
          <t>San Diego</t>
        </is>
      </c>
      <c r="D9" s="4" t="inlineStr">
        <is>
          <t>1,020</t>
        </is>
      </c>
      <c r="E9" s="6" t="inlineStr">
        <is>
          <t>Y</t>
        </is>
      </c>
      <c r="F9" s="5" t="inlineStr">
        <is>
          <t>1,020 sf (1st)</t>
        </is>
      </c>
      <c r="G9" s="5" t="inlineStr">
        <is>
          <t>$50 same-day; first in 1,020 group</t>
        </is>
      </c>
      <c r="H9" s="7" t="n">
        <v>575</v>
      </c>
    </row>
    <row r="10">
      <c r="A10" s="4" t="n">
        <v>6</v>
      </c>
      <c r="B10" s="5" t="inlineStr">
        <is>
          <t>3887 Pell Pl #213</t>
        </is>
      </c>
      <c r="C10" s="5" t="inlineStr">
        <is>
          <t>San Diego</t>
        </is>
      </c>
      <c r="D10" s="4" t="inlineStr">
        <is>
          <t>1,020</t>
        </is>
      </c>
      <c r="E10" s="6" t="inlineStr">
        <is>
          <t>Y</t>
        </is>
      </c>
      <c r="F10" s="5" t="inlineStr">
        <is>
          <t>1,020 sf (dup)</t>
        </is>
      </c>
      <c r="G10" s="5" t="inlineStr">
        <is>
          <t>$50 same-day + 1/3 off duplicate sf</t>
        </is>
      </c>
      <c r="H10" s="7" t="n">
        <v>383.33</v>
      </c>
    </row>
    <row r="11">
      <c r="A11" s="4" t="n">
        <v>7</v>
      </c>
      <c r="B11" s="5" t="inlineStr">
        <is>
          <t>3857 Pell Pl #404</t>
        </is>
      </c>
      <c r="C11" s="5" t="inlineStr">
        <is>
          <t>San Diego</t>
        </is>
      </c>
      <c r="D11" s="4" t="inlineStr">
        <is>
          <t>1,020</t>
        </is>
      </c>
      <c r="E11" s="6" t="inlineStr">
        <is>
          <t>Y</t>
        </is>
      </c>
      <c r="F11" s="5" t="inlineStr">
        <is>
          <t>1,020 sf (dup)</t>
        </is>
      </c>
      <c r="G11" s="5" t="inlineStr">
        <is>
          <t>$50 same-day + 1/3 off duplicate sf</t>
        </is>
      </c>
      <c r="H11" s="7" t="n">
        <v>383.33</v>
      </c>
    </row>
    <row r="12">
      <c r="A12" s="4" t="n">
        <v>8</v>
      </c>
      <c r="B12" s="5" t="inlineStr">
        <is>
          <t>3887 Pell Pl #201</t>
        </is>
      </c>
      <c r="C12" s="5" t="inlineStr">
        <is>
          <t>San Diego</t>
        </is>
      </c>
      <c r="D12" s="4" t="inlineStr">
        <is>
          <t>1,246</t>
        </is>
      </c>
      <c r="E12" s="6" t="inlineStr">
        <is>
          <t>Y</t>
        </is>
      </c>
      <c r="F12" s="5" t="inlineStr">
        <is>
          <t>1,246 sf (1st)</t>
        </is>
      </c>
      <c r="G12" s="5" t="inlineStr">
        <is>
          <t>$50 same-day; first in 1,246 group</t>
        </is>
      </c>
      <c r="H12" s="7" t="n">
        <v>575</v>
      </c>
    </row>
    <row r="13">
      <c r="A13" s="4" t="n">
        <v>9</v>
      </c>
      <c r="B13" s="5" t="inlineStr">
        <is>
          <t>3887 Pell Pl #305</t>
        </is>
      </c>
      <c r="C13" s="5" t="inlineStr">
        <is>
          <t>San Diego</t>
        </is>
      </c>
      <c r="D13" s="4" t="inlineStr">
        <is>
          <t>1,246</t>
        </is>
      </c>
      <c r="E13" s="6" t="inlineStr">
        <is>
          <t>Y</t>
        </is>
      </c>
      <c r="F13" s="5" t="inlineStr">
        <is>
          <t>1,246 sf (dup)</t>
        </is>
      </c>
      <c r="G13" s="5" t="inlineStr">
        <is>
          <t>$50 same-day + 1/3 off duplicate sf</t>
        </is>
      </c>
      <c r="H13" s="7" t="n">
        <v>383.33</v>
      </c>
    </row>
    <row r="14">
      <c r="B14" s="8" t="inlineStr">
        <is>
          <t>Raw Subtotal (sum of above)</t>
        </is>
      </c>
      <c r="H14" s="9">
        <f>SUM(H5:H13)</f>
        <v/>
      </c>
    </row>
    <row r="15">
      <c r="B15" s="10" t="inlineStr">
        <is>
          <t>Total (rounded to nearest $5)</t>
        </is>
      </c>
      <c r="H15" s="11">
        <f>MROUND(H14,5)</f>
        <v/>
      </c>
    </row>
    <row r="16">
      <c r="B16" s="10" t="inlineStr">
        <is>
          <t>Total with 5% cash-equivalent discount</t>
        </is>
      </c>
      <c r="H16" s="11">
        <f>MROUND(H14*0.95,5)</f>
        <v/>
      </c>
    </row>
    <row r="17">
      <c r="B17" s="12" t="inlineStr">
        <is>
          <t>Standard @ Base Rates (no discounts)</t>
        </is>
      </c>
      <c r="H17" s="13" t="n">
        <v>5625</v>
      </c>
    </row>
    <row r="18">
      <c r="B18" s="14" t="inlineStr">
        <is>
          <t>Savings vs Standard @ Base Rates</t>
        </is>
      </c>
      <c r="H18" s="15">
        <f>MROUND(H17-H14,5)</f>
        <v/>
      </c>
    </row>
    <row r="20">
      <c r="A20" s="16" t="inlineStr">
        <is>
          <t>Pricing Rules</t>
        </is>
      </c>
    </row>
    <row r="21">
      <c r="A21" s="17" t="inlineStr">
        <is>
          <t>• San Diego County Standard appraisal base rate: $625</t>
        </is>
      </c>
    </row>
    <row r="22">
      <c r="A22" s="17" t="inlineStr">
        <is>
          <t>• Same-day consecutive inspection: $50 off all but one San Diego standard appraisal</t>
        </is>
      </c>
    </row>
    <row r="23">
      <c r="A23" s="17" t="inlineStr">
        <is>
          <t>• Same living area match: 1/3 off all but the first property in a matching-sf group</t>
        </is>
      </c>
    </row>
    <row r="24">
      <c r="A24" s="17" t="inlineStr">
        <is>
          <t>• 5% cash-equivalent discount available for check or Zelle payment</t>
        </is>
      </c>
    </row>
    <row r="25">
      <c r="A25" s="17" t="inlineStr">
        <is>
          <t>• All totals rounded to nearest $5</t>
        </is>
      </c>
    </row>
  </sheetData>
  <mergeCells count="7">
    <mergeCell ref="A21:H21"/>
    <mergeCell ref="A25:H25"/>
    <mergeCell ref="A24:H24"/>
    <mergeCell ref="A2:H2"/>
    <mergeCell ref="A1:H1"/>
    <mergeCell ref="A23:H2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2026-04-14T16:56:28Z</dcterms:created>
  <dcterms:modified xmlns:dcterms="http://purl.org/dc/terms/" xmlns:xsi="http://www.w3.org/2001/XMLSchema-instance" xsi:type="dcterms:W3CDTF">2026-04-14T16:56:28Z</dcterms:modified>
</cp:coreProperties>
</file>